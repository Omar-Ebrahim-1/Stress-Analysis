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green\Documents\TEACHING\MECH-3211_Stress-Analysis\LABS\Lab-1-Principal-stresses\"/>
    </mc:Choice>
  </mc:AlternateContent>
  <xr:revisionPtr revIDLastSave="0" documentId="13_ncr:1_{2772BD97-628F-4335-AD3C-6B239155BB6C}" xr6:coauthVersionLast="47" xr6:coauthVersionMax="47" xr10:uidLastSave="{00000000-0000-0000-0000-000000000000}"/>
  <bookViews>
    <workbookView xWindow="-98" yWindow="-98" windowWidth="28996" windowHeight="157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" l="1"/>
  <c r="B10" i="1"/>
  <c r="F11" i="1"/>
  <c r="F9" i="1"/>
  <c r="B11" i="1"/>
  <c r="B9" i="1"/>
  <c r="F13" i="1" l="1"/>
  <c r="F14" i="1"/>
  <c r="B13" i="1"/>
  <c r="B14" i="1"/>
  <c r="F16" i="1" l="1"/>
  <c r="B16" i="1"/>
  <c r="F17" i="1"/>
  <c r="B17" i="1"/>
</calcChain>
</file>

<file path=xl/sharedStrings.xml><?xml version="1.0" encoding="utf-8"?>
<sst xmlns="http://schemas.openxmlformats.org/spreadsheetml/2006/main" count="26" uniqueCount="16">
  <si>
    <t>Top rosette</t>
  </si>
  <si>
    <t>Bottom rosette</t>
  </si>
  <si>
    <r>
      <rPr>
        <sz val="12"/>
        <color theme="1"/>
        <rFont val="Symbol"/>
        <family val="1"/>
        <charset val="2"/>
      </rPr>
      <t>n</t>
    </r>
    <r>
      <rPr>
        <sz val="12"/>
        <color theme="1"/>
        <rFont val="Times New Roman"/>
        <family val="1"/>
      </rPr>
      <t xml:space="preserve"> =</t>
    </r>
  </si>
  <si>
    <t>E =</t>
  </si>
  <si>
    <t>(psi)</t>
  </si>
  <si>
    <r>
      <rPr>
        <sz val="14"/>
        <color theme="1"/>
        <rFont val="Symbol"/>
        <family val="1"/>
        <charset val="2"/>
      </rPr>
      <t>e</t>
    </r>
    <r>
      <rPr>
        <vertAlign val="subscript"/>
        <sz val="14"/>
        <color theme="1"/>
        <rFont val="Calibri"/>
        <family val="2"/>
      </rPr>
      <t>0</t>
    </r>
  </si>
  <si>
    <r>
      <rPr>
        <sz val="14"/>
        <color theme="1"/>
        <rFont val="Symbol"/>
        <family val="1"/>
        <charset val="2"/>
      </rPr>
      <t>e</t>
    </r>
    <r>
      <rPr>
        <vertAlign val="subscript"/>
        <sz val="14"/>
        <color theme="1"/>
        <rFont val="Calibri"/>
        <family val="2"/>
      </rPr>
      <t>45</t>
    </r>
    <r>
      <rPr>
        <vertAlign val="subscript"/>
        <sz val="14"/>
        <color theme="1"/>
        <rFont val="Symbol"/>
        <family val="1"/>
        <charset val="2"/>
      </rPr>
      <t>°</t>
    </r>
  </si>
  <si>
    <r>
      <rPr>
        <sz val="14"/>
        <color theme="1"/>
        <rFont val="Symbol"/>
        <family val="1"/>
        <charset val="2"/>
      </rPr>
      <t>e</t>
    </r>
    <r>
      <rPr>
        <vertAlign val="subscript"/>
        <sz val="14"/>
        <color theme="1"/>
        <rFont val="Calibri"/>
        <family val="2"/>
      </rPr>
      <t>x</t>
    </r>
  </si>
  <si>
    <r>
      <rPr>
        <sz val="14"/>
        <color theme="1"/>
        <rFont val="Symbol"/>
        <family val="1"/>
        <charset val="2"/>
      </rPr>
      <t>e</t>
    </r>
    <r>
      <rPr>
        <vertAlign val="subscript"/>
        <sz val="14"/>
        <color theme="1"/>
        <rFont val="Calibri"/>
        <family val="2"/>
      </rPr>
      <t>y</t>
    </r>
  </si>
  <si>
    <r>
      <rPr>
        <sz val="14"/>
        <color theme="1"/>
        <rFont val="Symbol"/>
        <family val="1"/>
        <charset val="2"/>
      </rPr>
      <t>g</t>
    </r>
    <r>
      <rPr>
        <vertAlign val="subscript"/>
        <sz val="14"/>
        <color theme="1"/>
        <rFont val="Calibri"/>
        <family val="2"/>
      </rPr>
      <t>xy</t>
    </r>
  </si>
  <si>
    <r>
      <rPr>
        <sz val="14"/>
        <color theme="1"/>
        <rFont val="Symbol"/>
        <family val="1"/>
        <charset val="2"/>
      </rPr>
      <t>e</t>
    </r>
    <r>
      <rPr>
        <vertAlign val="subscript"/>
        <sz val="14"/>
        <color theme="1"/>
        <rFont val="Calibri"/>
        <family val="2"/>
      </rPr>
      <t>max</t>
    </r>
  </si>
  <si>
    <r>
      <rPr>
        <sz val="14"/>
        <color theme="1"/>
        <rFont val="Symbol"/>
        <family val="1"/>
        <charset val="2"/>
      </rPr>
      <t>e</t>
    </r>
    <r>
      <rPr>
        <vertAlign val="subscript"/>
        <sz val="14"/>
        <color theme="1"/>
        <rFont val="Calibri"/>
        <family val="2"/>
      </rPr>
      <t>min</t>
    </r>
  </si>
  <si>
    <r>
      <rPr>
        <sz val="14"/>
        <color theme="1"/>
        <rFont val="Symbol"/>
        <family val="1"/>
        <charset val="2"/>
      </rPr>
      <t>s</t>
    </r>
    <r>
      <rPr>
        <vertAlign val="subscript"/>
        <sz val="14"/>
        <color theme="1"/>
        <rFont val="Times New Roman"/>
        <family val="1"/>
      </rPr>
      <t xml:space="preserve">max </t>
    </r>
    <r>
      <rPr>
        <sz val="12"/>
        <color theme="1"/>
        <rFont val="Times New Roman"/>
        <family val="1"/>
      </rPr>
      <t>(psi)</t>
    </r>
  </si>
  <si>
    <r>
      <rPr>
        <sz val="14"/>
        <color theme="1"/>
        <rFont val="Symbol"/>
        <family val="1"/>
        <charset val="2"/>
      </rPr>
      <t>s</t>
    </r>
    <r>
      <rPr>
        <vertAlign val="subscript"/>
        <sz val="14"/>
        <color theme="1"/>
        <rFont val="Times New Roman"/>
        <family val="1"/>
      </rPr>
      <t xml:space="preserve">min </t>
    </r>
    <r>
      <rPr>
        <sz val="12"/>
        <color theme="1"/>
        <rFont val="Times New Roman"/>
        <family val="1"/>
      </rPr>
      <t>(psi)</t>
    </r>
  </si>
  <si>
    <t>Enter new values ONLY in cells shaded in green</t>
  </si>
  <si>
    <r>
      <rPr>
        <sz val="14"/>
        <color theme="1"/>
        <rFont val="Symbol"/>
        <family val="1"/>
        <charset val="2"/>
      </rPr>
      <t>e</t>
    </r>
    <r>
      <rPr>
        <vertAlign val="subscript"/>
        <sz val="14"/>
        <color theme="1"/>
        <rFont val="Symbol"/>
        <family val="1"/>
        <charset val="2"/>
      </rPr>
      <t>-</t>
    </r>
    <r>
      <rPr>
        <vertAlign val="subscript"/>
        <sz val="14"/>
        <color theme="1"/>
        <rFont val="Calibri"/>
        <family val="2"/>
      </rPr>
      <t>45</t>
    </r>
    <r>
      <rPr>
        <vertAlign val="subscript"/>
        <sz val="14"/>
        <color theme="1"/>
        <rFont val="Symbol"/>
        <family val="1"/>
        <charset val="2"/>
      </rPr>
      <t>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</si>
</sst>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Symbol"/>
      <family val="1"/>
      <charset val="2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4"/>
      <color theme="1"/>
      <name val="Calibri"/>
      <family val="2"/>
    </font>
    <font>
      <sz val="14"/>
      <color theme="1"/>
      <name val="Symbol"/>
      <family val="1"/>
      <charset val="2"/>
    </font>
    <font>
      <vertAlign val="subscript"/>
      <sz val="14"/>
      <color theme="1"/>
      <name val="Calibri"/>
      <family val="2"/>
    </font>
    <font>
      <vertAlign val="subscript"/>
      <sz val="14"/>
      <color theme="1"/>
      <name val="Symbol"/>
      <family val="1"/>
      <charset val="2"/>
    </font>
    <font>
      <sz val="14"/>
      <color theme="1"/>
      <name val="Calibri"/>
      <family val="2"/>
      <scheme val="minor"/>
    </font>
    <font>
      <vertAlign val="subscript"/>
      <sz val="14"/>
      <color theme="1"/>
      <name val="Times New Roman"/>
      <family val="1"/>
    </font>
    <font>
      <sz val="11"/>
      <color rgb="FFFF0000"/>
      <name val="Times New Roman"/>
      <family val="1"/>
    </font>
    <font>
      <sz val="14"/>
      <color theme="1"/>
      <name val="Calibri"/>
      <family val="1"/>
      <charset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FF99"/>
        <bgColor indexed="64"/>
      </patternFill>
    </fill>
  </fills>
  <borders count="12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top" wrapText="1"/>
    </xf>
    <xf numFmtId="0" fontId="1" fillId="4" borderId="0" xfId="0" applyFont="1" applyFill="1"/>
    <xf numFmtId="0" fontId="0" fillId="4" borderId="0" xfId="0" applyFill="1"/>
    <xf numFmtId="2" fontId="0" fillId="0" borderId="0" xfId="0" applyNumberFormat="1"/>
    <xf numFmtId="164" fontId="0" fillId="0" borderId="0" xfId="0" applyNumberFormat="1"/>
    <xf numFmtId="11" fontId="0" fillId="4" borderId="0" xfId="0" applyNumberFormat="1" applyFill="1"/>
    <xf numFmtId="0" fontId="0" fillId="0" borderId="3" xfId="0" applyBorder="1"/>
    <xf numFmtId="0" fontId="0" fillId="0" borderId="10" xfId="0" applyBorder="1"/>
    <xf numFmtId="0" fontId="1" fillId="0" borderId="5" xfId="0" applyFont="1" applyBorder="1" applyAlignment="1">
      <alignment horizontal="centerContinuous"/>
    </xf>
    <xf numFmtId="0" fontId="0" fillId="0" borderId="4" xfId="0" applyBorder="1" applyAlignment="1">
      <alignment horizontal="centerContinuous"/>
    </xf>
    <xf numFmtId="0" fontId="0" fillId="0" borderId="5" xfId="0" applyBorder="1" applyAlignment="1">
      <alignment horizontal="centerContinuous"/>
    </xf>
    <xf numFmtId="11" fontId="1" fillId="5" borderId="0" xfId="0" applyNumberFormat="1" applyFont="1" applyFill="1"/>
    <xf numFmtId="0" fontId="1" fillId="5" borderId="0" xfId="0" applyFont="1" applyFill="1"/>
    <xf numFmtId="11" fontId="1" fillId="5" borderId="2" xfId="0" applyNumberFormat="1" applyFont="1" applyFill="1" applyBorder="1" applyAlignment="1">
      <alignment vertical="top" wrapText="1"/>
    </xf>
    <xf numFmtId="0" fontId="3" fillId="0" borderId="4" xfId="0" applyFont="1" applyBorder="1" applyAlignment="1">
      <alignment horizontal="centerContinuous"/>
    </xf>
    <xf numFmtId="0" fontId="3" fillId="0" borderId="3" xfId="0" applyFont="1" applyBorder="1" applyAlignment="1">
      <alignment horizontal="centerContinuous"/>
    </xf>
    <xf numFmtId="0" fontId="4" fillId="0" borderId="0" xfId="0" applyFont="1"/>
    <xf numFmtId="0" fontId="4" fillId="5" borderId="0" xfId="0" applyFont="1" applyFill="1"/>
    <xf numFmtId="164" fontId="4" fillId="5" borderId="0" xfId="0" applyNumberFormat="1" applyFont="1" applyFill="1"/>
    <xf numFmtId="0" fontId="5" fillId="0" borderId="7" xfId="0" applyFont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9" fillId="0" borderId="0" xfId="0" applyFont="1"/>
    <xf numFmtId="0" fontId="5" fillId="3" borderId="8" xfId="0" applyFont="1" applyFill="1" applyBorder="1"/>
    <xf numFmtId="0" fontId="9" fillId="0" borderId="0" xfId="0" applyFont="1" applyBorder="1"/>
    <xf numFmtId="0" fontId="5" fillId="3" borderId="9" xfId="0" applyFont="1" applyFill="1" applyBorder="1"/>
    <xf numFmtId="0" fontId="11" fillId="5" borderId="0" xfId="0" applyFont="1" applyFill="1"/>
    <xf numFmtId="11" fontId="1" fillId="3" borderId="9" xfId="0" applyNumberFormat="1" applyFont="1" applyFill="1" applyBorder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11" fontId="1" fillId="3" borderId="8" xfId="0" applyNumberFormat="1" applyFont="1" applyFill="1" applyBorder="1" applyAlignment="1" applyProtection="1">
      <alignment vertical="center" wrapText="1"/>
      <protection locked="0"/>
    </xf>
    <xf numFmtId="164" fontId="3" fillId="3" borderId="8" xfId="0" applyNumberFormat="1" applyFont="1" applyFill="1" applyBorder="1" applyAlignment="1" applyProtection="1">
      <alignment vertical="center" wrapText="1"/>
      <protection locked="0"/>
    </xf>
    <xf numFmtId="164" fontId="1" fillId="3" borderId="8" xfId="0" applyNumberFormat="1" applyFont="1" applyFill="1" applyBorder="1" applyAlignment="1" applyProtection="1">
      <alignment vertical="center" wrapText="1"/>
      <protection locked="0"/>
    </xf>
    <xf numFmtId="0" fontId="0" fillId="0" borderId="0" xfId="0" applyAlignment="1" applyProtection="1">
      <alignment vertical="center"/>
      <protection locked="0"/>
    </xf>
    <xf numFmtId="11" fontId="1" fillId="3" borderId="11" xfId="0" applyNumberFormat="1" applyFont="1" applyFill="1" applyBorder="1" applyAlignment="1" applyProtection="1">
      <alignment vertical="center" wrapText="1"/>
      <protection locked="0"/>
    </xf>
    <xf numFmtId="164" fontId="1" fillId="3" borderId="11" xfId="0" applyNumberFormat="1" applyFont="1" applyFill="1" applyBorder="1" applyAlignment="1" applyProtection="1">
      <alignment vertical="center" wrapText="1"/>
      <protection locked="0"/>
    </xf>
    <xf numFmtId="164" fontId="3" fillId="3" borderId="11" xfId="0" applyNumberFormat="1" applyFont="1" applyFill="1" applyBorder="1" applyAlignment="1" applyProtection="1">
      <alignment vertical="center" wrapText="1"/>
      <protection locked="0"/>
    </xf>
    <xf numFmtId="0" fontId="12" fillId="0" borderId="6" xfId="0" applyFont="1" applyBorder="1" applyAlignment="1">
      <alignment horizontal="center"/>
    </xf>
    <xf numFmtId="0" fontId="1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showGridLines="0" tabSelected="1" zoomScaleNormal="100" workbookViewId="0">
      <selection activeCell="F5" sqref="F5"/>
    </sheetView>
  </sheetViews>
  <sheetFormatPr defaultRowHeight="14.25"/>
  <cols>
    <col min="1" max="6" width="10.73046875" customWidth="1"/>
    <col min="7" max="7" width="5.3984375" customWidth="1"/>
    <col min="8" max="8" width="12.1328125" customWidth="1"/>
    <col min="9" max="9" width="4" customWidth="1"/>
    <col min="10" max="10" width="4.1328125" customWidth="1"/>
    <col min="11" max="11" width="13.265625" customWidth="1"/>
  </cols>
  <sheetData>
    <row r="1" spans="1:11" ht="15.4">
      <c r="A1" s="1" t="s">
        <v>3</v>
      </c>
      <c r="B1" s="13">
        <v>30000000</v>
      </c>
      <c r="C1" s="18" t="s">
        <v>4</v>
      </c>
    </row>
    <row r="2" spans="1:11" ht="15.4">
      <c r="A2" s="1" t="s">
        <v>2</v>
      </c>
      <c r="B2" s="14">
        <v>0.27</v>
      </c>
    </row>
    <row r="3" spans="1:11" ht="14.65" thickBot="1"/>
    <row r="4" spans="1:11" ht="15.4">
      <c r="A4" s="17" t="s">
        <v>0</v>
      </c>
      <c r="B4" s="16"/>
      <c r="C4" s="10"/>
      <c r="D4" s="17" t="s">
        <v>1</v>
      </c>
      <c r="E4" s="11"/>
      <c r="F4" s="12"/>
      <c r="G4" s="3"/>
      <c r="H4" s="3"/>
      <c r="I4" s="3"/>
      <c r="J4" s="3"/>
      <c r="K4" s="4"/>
    </row>
    <row r="5" spans="1:11" ht="21.75" thickBot="1">
      <c r="A5" s="39" t="s">
        <v>6</v>
      </c>
      <c r="B5" s="21" t="s">
        <v>5</v>
      </c>
      <c r="C5" s="40" t="s">
        <v>15</v>
      </c>
      <c r="D5" s="39" t="s">
        <v>6</v>
      </c>
      <c r="E5" s="21" t="s">
        <v>5</v>
      </c>
      <c r="F5" s="40" t="s">
        <v>15</v>
      </c>
    </row>
    <row r="6" spans="1:11" ht="15.75" thickBot="1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</row>
    <row r="7" spans="1:11" ht="15.75" thickBot="1">
      <c r="A7" s="15">
        <v>1.06E-4</v>
      </c>
      <c r="B7" s="15">
        <v>1.35E-4</v>
      </c>
      <c r="C7" s="15">
        <v>-7.4000000000000003E-6</v>
      </c>
      <c r="D7" s="15">
        <v>7.4000000000000003E-6</v>
      </c>
      <c r="E7" s="15">
        <v>-1.35E-4</v>
      </c>
      <c r="F7" s="15">
        <v>-1.06E-4</v>
      </c>
    </row>
    <row r="8" spans="1:11">
      <c r="D8" s="8"/>
    </row>
    <row r="9" spans="1:11" ht="21">
      <c r="A9" s="22" t="s">
        <v>7</v>
      </c>
      <c r="B9" s="30">
        <f>B7</f>
        <v>1.35E-4</v>
      </c>
      <c r="C9" s="4"/>
      <c r="D9" s="9"/>
      <c r="E9" s="22" t="s">
        <v>7</v>
      </c>
      <c r="F9" s="30">
        <f>E7</f>
        <v>-1.35E-4</v>
      </c>
    </row>
    <row r="10" spans="1:11" ht="21">
      <c r="A10" s="22" t="s">
        <v>8</v>
      </c>
      <c r="B10" s="30">
        <f>A7-B7+C7</f>
        <v>-3.6400000000000004E-5</v>
      </c>
      <c r="C10" s="7"/>
      <c r="D10" s="9"/>
      <c r="E10" s="22" t="s">
        <v>8</v>
      </c>
      <c r="F10" s="30">
        <f>D7-E7+F7</f>
        <v>3.639999999999999E-5</v>
      </c>
    </row>
    <row r="11" spans="1:11" ht="21">
      <c r="A11" s="22" t="s">
        <v>9</v>
      </c>
      <c r="B11" s="30">
        <f>C7-A7</f>
        <v>-1.1340000000000001E-4</v>
      </c>
      <c r="C11" s="7"/>
      <c r="D11" s="9"/>
      <c r="E11" s="22" t="s">
        <v>9</v>
      </c>
      <c r="F11" s="30">
        <f>F7-D7</f>
        <v>-1.1340000000000001E-4</v>
      </c>
    </row>
    <row r="12" spans="1:11" ht="18">
      <c r="A12" s="23"/>
      <c r="B12" s="31"/>
      <c r="D12" s="9"/>
      <c r="E12" s="23"/>
      <c r="F12" s="35"/>
    </row>
    <row r="13" spans="1:11" ht="21">
      <c r="A13" s="24" t="s">
        <v>10</v>
      </c>
      <c r="B13" s="32">
        <f>(B9+B10)/2+SQRT((((B9-B10)/2)^2+(B11/2)^2))</f>
        <v>1.5205884390163214E-4</v>
      </c>
      <c r="D13" s="9"/>
      <c r="E13" s="22" t="s">
        <v>10</v>
      </c>
      <c r="F13" s="36">
        <f>(F9+F10)/2+SQRT((((F9-F10)/2)^2+(F11/2)^2))</f>
        <v>5.345884390163213E-5</v>
      </c>
    </row>
    <row r="14" spans="1:11" ht="21">
      <c r="A14" s="24" t="s">
        <v>11</v>
      </c>
      <c r="B14" s="32">
        <f>(B9+B10)/2-SQRT((((B9-B10)/2)^2+(B11/2)^2))</f>
        <v>-5.3458843901632137E-5</v>
      </c>
      <c r="D14" s="9"/>
      <c r="E14" s="22" t="s">
        <v>11</v>
      </c>
      <c r="F14" s="36">
        <f>(F9+F10)/2-SQRT((((F9-F10)/2)^2+(F11/2)^2))</f>
        <v>-1.5205884390163214E-4</v>
      </c>
    </row>
    <row r="15" spans="1:11" ht="18">
      <c r="A15" s="25"/>
      <c r="B15" s="31"/>
      <c r="D15" s="9"/>
      <c r="E15" s="27"/>
      <c r="F15" s="35"/>
    </row>
    <row r="16" spans="1:11" ht="20.65">
      <c r="A16" s="26" t="s">
        <v>12</v>
      </c>
      <c r="B16" s="33">
        <f>(B1/(1-B2^2))*(B13+B2*B14)</f>
        <v>4453.4016626531593</v>
      </c>
      <c r="D16" s="9"/>
      <c r="E16" s="28" t="s">
        <v>12</v>
      </c>
      <c r="F16" s="37">
        <f>(B1/(1-B2^2))*(F13+B2*F14)</f>
        <v>401.34686813261072</v>
      </c>
    </row>
    <row r="17" spans="1:6" ht="20.65">
      <c r="A17" s="26" t="s">
        <v>13</v>
      </c>
      <c r="B17" s="34">
        <f>(B1/(1-B2^2))*(B14+B2*B13)</f>
        <v>-401.34686813261095</v>
      </c>
      <c r="D17" s="9"/>
      <c r="E17" s="28" t="s">
        <v>13</v>
      </c>
      <c r="F17" s="38">
        <f>(B1/(1-B2^2))*(F14+B2*F13)</f>
        <v>-4453.4016626531593</v>
      </c>
    </row>
    <row r="19" spans="1:6">
      <c r="B19" s="6"/>
      <c r="C19" s="5"/>
      <c r="E19" s="6"/>
      <c r="F19" s="5"/>
    </row>
    <row r="20" spans="1:6">
      <c r="A20" s="29" t="s">
        <v>14</v>
      </c>
      <c r="B20" s="20"/>
      <c r="C20" s="19"/>
      <c r="D20" s="19"/>
      <c r="E20" s="6"/>
    </row>
    <row r="21" spans="1:6">
      <c r="B21" s="6"/>
      <c r="E21" s="6"/>
    </row>
    <row r="23" spans="1:6">
      <c r="B23" s="6"/>
      <c r="E23" s="6"/>
    </row>
    <row r="24" spans="1:6">
      <c r="B24" s="6"/>
      <c r="E24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Windsor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cclee</dc:creator>
  <cp:lastModifiedBy>Windows User</cp:lastModifiedBy>
  <dcterms:created xsi:type="dcterms:W3CDTF">2010-03-29T01:42:48Z</dcterms:created>
  <dcterms:modified xsi:type="dcterms:W3CDTF">2022-10-30T00:12:06Z</dcterms:modified>
</cp:coreProperties>
</file>